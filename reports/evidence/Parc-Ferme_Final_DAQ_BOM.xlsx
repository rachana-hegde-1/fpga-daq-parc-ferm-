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BOM" sheetId="1" state="visible" r:id="rId1"/>
    <sheet xmlns:r="http://schemas.openxmlformats.org/officeDocument/2006/relationships" name="Selection decisions" sheetId="2" state="visible" r:id="rId2"/>
    <sheet xmlns:r="http://schemas.openxmlformats.org/officeDocument/2006/relationships" name="Channels and scope" sheetId="3" state="visible" r:id="rId3"/>
    <sheet xmlns:r="http://schemas.openxmlformats.org/officeDocument/2006/relationships" name="Sources" sheetId="4" state="visible" r:id="rId4"/>
  </sheets>
  <definedNames/>
  <calcPr calcId="124519" fullCalcOnLoad="1" forceFullCalc="1"/>
</workbook>
</file>

<file path=xl/styles.xml><?xml version="1.0" encoding="utf-8"?>
<styleSheet xmlns="http://schemas.openxmlformats.org/spreadsheetml/2006/main">
  <numFmts count="1">
    <numFmt numFmtId="164" formatCode="&quot;₹&quot;#,##0.00"/>
  </numFmts>
  <fonts count="6">
    <font>
      <name val="Calibri"/>
      <family val="2"/>
      <color theme="1"/>
      <sz val="11"/>
      <scheme val="minor"/>
    </font>
    <font>
      <b val="1"/>
      <color rgb="00FFFFFF"/>
      <sz val="15"/>
    </font>
    <font>
      <i val="1"/>
      <color rgb="0040566D"/>
      <sz val="10"/>
    </font>
    <font>
      <b val="1"/>
      <color rgb="00FFFFFF"/>
    </font>
    <font>
      <b val="1"/>
    </font>
    <font>
      <b val="1"/>
      <color rgb="009C0006"/>
    </font>
  </fonts>
  <fills count="8">
    <fill>
      <patternFill/>
    </fill>
    <fill>
      <patternFill patternType="gray125"/>
    </fill>
    <fill>
      <patternFill patternType="solid">
        <fgColor rgb="0018324B"/>
      </patternFill>
    </fill>
    <fill>
      <patternFill patternType="solid">
        <fgColor rgb="00D9EAF7"/>
      </patternFill>
    </fill>
    <fill>
      <patternFill patternType="solid">
        <fgColor rgb="00355C7D"/>
      </patternFill>
    </fill>
    <fill>
      <patternFill patternType="solid">
        <fgColor rgb="00F4F7FA"/>
      </patternFill>
    </fill>
    <fill>
      <patternFill patternType="solid">
        <fgColor rgb="00E2F0D9"/>
      </patternFill>
    </fill>
    <fill>
      <patternFill patternType="solid">
        <fgColor rgb="00FFF2CC"/>
      </patternFill>
    </fill>
  </fills>
  <borders count="2">
    <border>
      <left/>
      <right/>
      <top/>
      <bottom/>
      <diagonal/>
    </border>
    <border>
      <bottom style="thin">
        <color rgb="00D4DCE5"/>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top" wrapText="1"/>
    </xf>
    <xf numFmtId="0" fontId="3" fillId="4" borderId="1" applyAlignment="1" pivotButton="0" quotePrefix="0" xfId="0">
      <alignment vertical="top" wrapText="1"/>
    </xf>
    <xf numFmtId="0" fontId="0" fillId="5" borderId="1" applyAlignment="1" pivotButton="0" quotePrefix="0" xfId="0">
      <alignment vertical="top" wrapText="1"/>
    </xf>
    <xf numFmtId="164" fontId="0" fillId="5"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0" fontId="4" fillId="6" borderId="1" applyAlignment="1" pivotButton="0" quotePrefix="0" xfId="0">
      <alignment vertical="top" wrapText="1"/>
    </xf>
    <xf numFmtId="164" fontId="4" fillId="6"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8" customWidth="1" min="3" max="3"/>
    <col width="34" customWidth="1" min="4" max="4"/>
    <col width="8" customWidth="1" min="5" max="5"/>
    <col width="16" customWidth="1" min="6" max="6"/>
    <col width="17" customWidth="1" min="7" max="7"/>
    <col width="30" customWidth="1" min="8" max="8"/>
    <col width="55" customWidth="1" min="9" max="9"/>
    <col width="75" customWidth="1" min="10" max="10"/>
  </cols>
  <sheetData>
    <row r="1" ht="26" customHeight="1">
      <c r="A1" s="1" t="inlineStr">
        <is>
          <t>PARC-FERMÉ — FPGA VEHICLE DAQ BILL OF MATERIALS</t>
        </is>
      </c>
    </row>
    <row r="2">
      <c r="A2" s="2" t="inlineStr">
        <is>
          <t>Scope: 7 required channels | Vehicle installation BOM | Prices are indicative, not a purchase order</t>
        </is>
      </c>
      <c r="B2" s="2" t="n"/>
      <c r="C2" s="2" t="n"/>
      <c r="D2" s="2" t="n"/>
      <c r="E2" s="2" t="n"/>
      <c r="F2" s="2" t="n"/>
      <c r="G2" s="2" t="n"/>
      <c r="H2" s="2" t="n"/>
      <c r="I2" s="2" t="n"/>
      <c r="J2" s="2" t="n"/>
    </row>
    <row r="3">
      <c r="A3" s="3" t="inlineStr">
        <is>
          <t>ID</t>
        </is>
      </c>
      <c r="B3" s="3" t="inlineStr">
        <is>
          <t>Subsystem</t>
        </is>
      </c>
      <c r="C3" s="3" t="inlineStr">
        <is>
          <t>Item / candidate</t>
        </is>
      </c>
      <c r="D3" s="3" t="inlineStr">
        <is>
          <t>Model / part number</t>
        </is>
      </c>
      <c r="E3" s="3" t="inlineStr">
        <is>
          <t>Qty</t>
        </is>
      </c>
      <c r="F3" s="3" t="inlineStr">
        <is>
          <t>Unit cost (INR)</t>
        </is>
      </c>
      <c r="G3" s="3" t="inlineStr">
        <is>
          <t>Line total (INR)</t>
        </is>
      </c>
      <c r="H3" s="3" t="inlineStr">
        <is>
          <t>Status</t>
        </is>
      </c>
      <c r="I3" s="3" t="inlineStr">
        <is>
          <t>Supplier / datasheet link</t>
        </is>
      </c>
      <c r="J3" s="3" t="inlineStr">
        <is>
          <t>Notes / purchasing gate</t>
        </is>
      </c>
    </row>
    <row r="4" ht="48" customHeight="1">
      <c r="A4" s="4" t="inlineStr">
        <is>
          <t>DAQ-01</t>
        </is>
      </c>
      <c r="B4" s="4" t="inlineStr">
        <is>
          <t>FPGA platform</t>
        </is>
      </c>
      <c r="C4" s="4" t="inlineStr">
        <is>
          <t>Digilent Cmod A7-35T FPGA development board</t>
        </is>
      </c>
      <c r="D4" s="4" t="inlineStr">
        <is>
          <t>Cmod A7-35T (Artix-7)</t>
        </is>
      </c>
      <c r="E4" s="4" t="n">
        <v>1</v>
      </c>
      <c r="F4" s="5" t="n">
        <v>9937.200000000001</v>
      </c>
      <c r="G4" s="5">
        <f>E4*F4</f>
        <v/>
      </c>
      <c r="H4" s="4" t="inlineStr">
        <is>
          <t>Candidate — toolchain-dependent</t>
        </is>
      </c>
      <c r="I4" s="4" t="inlineStr">
        <is>
          <t>https://www.digikey.in/en/products/filter/evaluation-boards-embedded-complex-logic-fpga-cpld/796</t>
        </is>
      </c>
      <c r="J4" s="4" t="inlineStr">
        <is>
          <t>Indicative listing price. Confirm exact SKU, stock and whether a suitable board is already available. Development board is not automotive-qualified; physical vehicle use requires packaging and environmental review.</t>
        </is>
      </c>
    </row>
    <row r="5" ht="48" customHeight="1">
      <c r="A5" s="6" t="inlineStr">
        <is>
          <t>DAQ-02</t>
        </is>
      </c>
      <c r="B5" s="6" t="inlineStr">
        <is>
          <t>CAN interface</t>
        </is>
      </c>
      <c r="C5" s="6" t="inlineStr">
        <is>
          <t>Digilent Pmod CAN</t>
        </is>
      </c>
      <c r="D5" s="6" t="inlineStr">
        <is>
          <t>410-353; MCP25625; classic CAN 2.0B</t>
        </is>
      </c>
      <c r="E5" s="6" t="n">
        <v>1</v>
      </c>
      <c r="F5" s="7" t="n">
        <v>1677.24</v>
      </c>
      <c r="G5" s="7">
        <f>E5*F5</f>
        <v/>
      </c>
      <c r="H5" s="6" t="inlineStr">
        <is>
          <t>Conditional — confirm CAN requirements</t>
        </is>
      </c>
      <c r="I5" s="6" t="inlineStr">
        <is>
          <t>https://www.mouser.in/en/ProductDetail/Digilent/410-353?qs=sGAEpiMZZMuasj4BaJBHVxbkAbPd%2FWEFUrg7SyghO0zTqQnA7ZiAfQ%3D%3D</t>
        </is>
      </c>
      <c r="J5" s="6" t="inlineStr">
        <is>
          <t>Buy only after confirming M150/IMU bus protocol, bitrate, topology, termination and FPGA SPI/I/O voltage compatibility. Not CAN-FD.</t>
        </is>
      </c>
    </row>
    <row r="6" ht="48" customHeight="1">
      <c r="A6" s="4" t="inlineStr">
        <is>
          <t>DAQ-03</t>
        </is>
      </c>
      <c r="B6" s="4" t="inlineStr">
        <is>
          <t>Vehicle dynamics</t>
        </is>
      </c>
      <c r="C6" s="4" t="inlineStr">
        <is>
          <t>Bosch Motorsport six-axis IMU</t>
        </is>
      </c>
      <c r="D6" s="4" t="inlineStr">
        <is>
          <t>MM7.10; exact cable/connector variant TBD</t>
        </is>
      </c>
      <c r="E6" s="4" t="n">
        <v>1</v>
      </c>
      <c r="F6" s="5" t="n"/>
      <c r="G6" s="5" t="n"/>
      <c r="H6" s="4" t="inlineStr">
        <is>
          <t>Preferred candidate — quote required</t>
        </is>
      </c>
      <c r="I6" s="4" t="inlineStr">
        <is>
          <t>https://www.bosch-motorsport.com/products/sensors/vehicle-dynamics/inertial-measurement-unit-mm7-10/</t>
        </is>
      </c>
      <c r="J6" s="4" t="inlineStr">
        <is>
          <t>One IMU supplies longitudinal acceleration, lateral acceleration and yaw rate. Confirm current availability, CAN message definitions/scaling, mounting orientation and required cable.</t>
        </is>
      </c>
    </row>
    <row r="7" ht="48" customHeight="1">
      <c r="A7" s="6" t="inlineStr">
        <is>
          <t>SNS-01</t>
        </is>
      </c>
      <c r="B7" s="6" t="inlineStr">
        <is>
          <t>Temperature sensing</t>
        </is>
      </c>
      <c r="C7" s="6" t="inlineStr">
        <is>
          <t>Engine coolant temperature sensor</t>
        </is>
      </c>
      <c r="D7" s="6" t="inlineStr">
        <is>
          <t>Bosch Motorsport NTC M12; 0280.130.026 candidate</t>
        </is>
      </c>
      <c r="E7" s="6" t="n">
        <v>1</v>
      </c>
      <c r="F7" s="7" t="n"/>
      <c r="G7" s="7" t="n"/>
      <c r="H7" s="6" t="inlineStr">
        <is>
          <t>Conditional — reuse ECU data first</t>
        </is>
      </c>
      <c r="I7" s="6" t="inlineStr">
        <is>
          <t>https://www.bosch-motorsport.com/products/sensors/temperature/temperature-sensor-ntc-m12/</t>
        </is>
      </c>
      <c r="J7" s="6" t="inlineStr">
        <is>
          <t>Only purchase if the required coolant value is not available from the configured MoTeC M150 or the existing sensor does not meet the measurement requirement. Verify thread, fitment, connector and calibration.</t>
        </is>
      </c>
    </row>
    <row r="8" ht="48" customHeight="1">
      <c r="A8" s="4" t="inlineStr">
        <is>
          <t>SNS-02</t>
        </is>
      </c>
      <c r="B8" s="4" t="inlineStr">
        <is>
          <t>Temperature sensing</t>
        </is>
      </c>
      <c r="C8" s="4" t="inlineStr">
        <is>
          <t>Pre-turbo intake-air temperature sensor</t>
        </is>
      </c>
      <c r="D8" s="4" t="inlineStr">
        <is>
          <t>Bosch Motorsport NTC M12-L; 0280.130.039 candidate</t>
        </is>
      </c>
      <c r="E8" s="4" t="n">
        <v>1</v>
      </c>
      <c r="F8" s="5" t="n"/>
      <c r="G8" s="5" t="n"/>
      <c r="H8" s="4" t="inlineStr">
        <is>
          <t>Conditional — location and signal to verify</t>
        </is>
      </c>
      <c r="I8" s="4" t="inlineStr">
        <is>
          <t>https://www.bosch-motorsport.com/products/sensors/temperature/temperature-sensor-ntc-m12-l/</t>
        </is>
      </c>
      <c r="J8" s="4" t="inlineStr">
        <is>
          <t>Required location is upstream of the turbo compressor. Confirm existing signal availability and physical mounting before purchase.</t>
        </is>
      </c>
    </row>
    <row r="9" ht="48" customHeight="1">
      <c r="A9" s="6" t="inlineStr">
        <is>
          <t>SNS-03</t>
        </is>
      </c>
      <c r="B9" s="6" t="inlineStr">
        <is>
          <t>Temperature sensing</t>
        </is>
      </c>
      <c r="C9" s="6" t="inlineStr">
        <is>
          <t>Post-intercooler intake-air temperature sensor</t>
        </is>
      </c>
      <c r="D9" s="6" t="inlineStr">
        <is>
          <t>Bosch Motorsport NTC M12-L; 0280.130.039 candidate</t>
        </is>
      </c>
      <c r="E9" s="6" t="n">
        <v>1</v>
      </c>
      <c r="F9" s="7" t="n"/>
      <c r="G9" s="7" t="n"/>
      <c r="H9" s="6" t="inlineStr">
        <is>
          <t>Conditional — location and signal to verify</t>
        </is>
      </c>
      <c r="I9" s="6" t="inlineStr">
        <is>
          <t>https://www.bosch-motorsport.com/products/sensors/temperature/temperature-sensor-ntc-m12-l/</t>
        </is>
      </c>
      <c r="J9" s="6" t="inlineStr">
        <is>
          <t>Required location is downstream of the intercooler. Confirm existing signal availability and physical mounting before purchase.</t>
        </is>
      </c>
    </row>
    <row r="10" ht="48" customHeight="1">
      <c r="A10" s="4" t="inlineStr">
        <is>
          <t>PWR-01</t>
        </is>
      </c>
      <c r="B10" s="4" t="inlineStr">
        <is>
          <t>Power and protection</t>
        </is>
      </c>
      <c r="C10" s="4" t="inlineStr">
        <is>
          <t>Protected vehicle-input power supply and transient protection</t>
        </is>
      </c>
      <c r="D10" s="4" t="inlineStr">
        <is>
          <t>Exact commercial module / implementation TBD</t>
        </is>
      </c>
      <c r="E10" s="4" t="n">
        <v>1</v>
      </c>
      <c r="F10" s="5" t="n"/>
      <c r="G10" s="5" t="n"/>
      <c r="H10" s="4" t="inlineStr">
        <is>
          <t>Required for vehicle hardware — not selected</t>
        </is>
      </c>
      <c r="I10" s="4" t="inlineStr">
        <is>
          <t>https://www.ti.com/tool/TIDA-01179</t>
        </is>
      </c>
      <c r="J10" s="4" t="inlineStr">
        <is>
          <t>TI TIDA-01179 is a reference design, not a ready-to-buy module. Select a suitable solution for reverse polarity, transients/load dump, cranking dips, fuse and thermal/current requirements. Do not connect an unprotected vehicle battery directly to the development board.</t>
        </is>
      </c>
    </row>
    <row r="11" ht="48" customHeight="1">
      <c r="A11" s="6" t="inlineStr">
        <is>
          <t>MECH-01</t>
        </is>
      </c>
      <c r="B11" s="6" t="inlineStr">
        <is>
          <t>Enclosure</t>
        </is>
      </c>
      <c r="C11" s="6" t="inlineStr">
        <is>
          <t>AQUA AQ02 IP67 enclosure</t>
        </is>
      </c>
      <c r="D11" s="6" t="inlineStr">
        <is>
          <t>AQ02</t>
        </is>
      </c>
      <c r="E11" s="6" t="n">
        <v>1</v>
      </c>
      <c r="F11" s="7" t="n">
        <v>1180</v>
      </c>
      <c r="G11" s="7">
        <f>E10*F10</f>
        <v/>
      </c>
      <c r="H11" s="6" t="inlineStr">
        <is>
          <t>Candidate — fitment to verify</t>
        </is>
      </c>
      <c r="I11" s="6" t="inlineStr">
        <is>
          <t>https://vkenterprises.tech/product/aqua-series-ip67-waterproof-enclosure-for-electronics-aq02/</t>
        </is>
      </c>
      <c r="J11" s="6" t="inlineStr">
        <is>
          <t>Indicative listing ₹1,180 incl. GST; shipping extra. Verify board dimensions, mounting, cable glands, heat dissipation and sealing after cutouts.</t>
        </is>
      </c>
    </row>
    <row r="12" ht="48" customHeight="1">
      <c r="A12" s="4" t="inlineStr">
        <is>
          <t>HAR-01</t>
        </is>
      </c>
      <c r="B12" s="4" t="inlineStr">
        <is>
          <t>Harness and interconnect</t>
        </is>
      </c>
      <c r="C12" s="4" t="inlineStr">
        <is>
          <t>Automotive connectors, CAN twisted-pair cable, glands, strain relief and mounting hardware</t>
        </is>
      </c>
      <c r="D12" s="4" t="inlineStr">
        <is>
          <t>Exact connector families and lengths TBD</t>
        </is>
      </c>
      <c r="E12" s="4" t="n">
        <v>1</v>
      </c>
      <c r="F12" s="5" t="n"/>
      <c r="G12" s="5" t="n"/>
      <c r="H12" s="4" t="inlineStr">
        <is>
          <t>Required for installation — design-dependent</t>
        </is>
      </c>
      <c r="I12" s="4" t="inlineStr"/>
      <c r="J12" s="4" t="inlineStr">
        <is>
          <t>Finalize only after pinouts, connector part numbers, cable route, wire gauge, locking, vibration and environmental requirements are known.</t>
        </is>
      </c>
    </row>
    <row r="13" ht="48" customHeight="1">
      <c r="A13" s="6" t="inlineStr">
        <is>
          <t>RPM-01</t>
        </is>
      </c>
      <c r="B13" s="6" t="inlineStr">
        <is>
          <t>RPM input</t>
        </is>
      </c>
      <c r="C13" s="6" t="inlineStr">
        <is>
          <t>RPM signal conditioning / protection</t>
        </is>
      </c>
      <c r="D13" s="6" t="inlineStr">
        <is>
          <t>Exact circuit or module TBD</t>
        </is>
      </c>
      <c r="E13" s="6" t="n">
        <v>1</v>
      </c>
      <c r="F13" s="7" t="n"/>
      <c r="G13" s="7" t="n"/>
      <c r="H13" s="6" t="inlineStr">
        <is>
          <t>Conditional — input source unverified</t>
        </is>
      </c>
      <c r="I13" s="6" t="inlineStr"/>
      <c r="J13" s="6" t="inlineStr">
        <is>
          <t>RPM measurement RTL is already implemented and synthesised. Do not purchase a separate crank sensor by default. Confirm the source signal and electrical levels first; never connect a raw crank/cam signal directly to FPGA I/O.</t>
        </is>
      </c>
    </row>
    <row r="14" ht="48" customHeight="1">
      <c r="A14" s="8" t="inlineStr">
        <is>
          <t>Subtotal — priced line items only</t>
        </is>
      </c>
      <c r="B14" s="4" t="n"/>
      <c r="C14" s="4" t="n"/>
      <c r="D14" s="4" t="n"/>
      <c r="E14" s="4" t="n"/>
      <c r="F14" s="4" t="n"/>
      <c r="G14" s="9">
        <f>SUM(G4:G14)</f>
        <v/>
      </c>
      <c r="H14" s="4" t="n"/>
      <c r="I14" s="4" t="n"/>
      <c r="J14" s="4" t="n"/>
    </row>
    <row r="15" ht="56" customHeight="1">
      <c r="A15" s="10" t="inlineStr">
        <is>
          <t>Important</t>
        </is>
      </c>
      <c r="B15" s="6" t="inlineStr">
        <is>
          <t>The subtotal includes only the FPGA board, CAN interface and enclosure at the listed indicative prices. It is not the complete installed-system cost. Quote-required and conditional items are excluded; taxes, shipping, stock and exact variants must be confirmed.</t>
        </is>
      </c>
      <c r="C15" s="6" t="n"/>
      <c r="D15" s="6" t="n"/>
      <c r="E15" s="6" t="n"/>
      <c r="F15" s="6" t="n"/>
      <c r="G15" s="6" t="n"/>
      <c r="H15" s="6" t="n"/>
      <c r="I15" s="6" t="n"/>
      <c r="J15" s="6" t="n"/>
    </row>
  </sheetData>
  <mergeCells count="2">
    <mergeCell ref="B15:J15"/>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showGridLines="0" workbookViewId="0">
      <pane ySplit="2" topLeftCell="A3" activePane="bottomLeft" state="frozen"/>
      <selection pane="bottomLeft" activeCell="A1" sqref="A1"/>
    </sheetView>
  </sheetViews>
  <sheetFormatPr baseColWidth="8" defaultRowHeight="15"/>
  <cols>
    <col width="25" customWidth="1" min="1" max="1"/>
    <col width="48" customWidth="1" min="2" max="2"/>
    <col width="52" customWidth="1" min="3" max="3"/>
    <col width="55" customWidth="1" min="4" max="4"/>
    <col width="55" customWidth="1" min="5" max="5"/>
  </cols>
  <sheetData>
    <row r="1" ht="26" customHeight="1">
      <c r="A1" s="1" t="inlineStr">
        <is>
          <t>PARC-FERMÉ — COMPONENT DECISION RECORD</t>
        </is>
      </c>
    </row>
    <row r="2">
      <c r="A2" s="3" t="inlineStr">
        <is>
          <t>Decision</t>
        </is>
      </c>
      <c r="B2" s="3" t="inlineStr">
        <is>
          <t>Selected direction / candidate</t>
        </is>
      </c>
      <c r="C2" s="3" t="inlineStr">
        <is>
          <t>Alternative / option</t>
        </is>
      </c>
      <c r="D2" s="3" t="inlineStr">
        <is>
          <t>Reasoning</t>
        </is>
      </c>
      <c r="E2" s="3" t="inlineStr">
        <is>
          <t>Open check before purchase</t>
        </is>
      </c>
    </row>
    <row r="3" ht="48" customHeight="1">
      <c r="A3" s="6" t="inlineStr">
        <is>
          <t>FPGA board</t>
        </is>
      </c>
      <c r="B3" s="6" t="inlineStr">
        <is>
          <t>Digilent Cmod A7-35T candidate if continuing with Vivado</t>
        </is>
      </c>
      <c r="C3" s="6" t="inlineStr">
        <is>
          <t>MAX 10 board is a lower-cost alternative if using Quartus</t>
        </is>
      </c>
      <c r="D3" s="6" t="inlineStr">
        <is>
          <t>The existing report does not establish a final physical FPGA target. Toolchain continuity and actual board availability should drive the decision.</t>
        </is>
      </c>
      <c r="E3" s="6" t="inlineStr">
        <is>
          <t>Confirm board already available, toolchain, I/O voltage, timing and packaging.</t>
        </is>
      </c>
    </row>
    <row r="4" ht="48" customHeight="1">
      <c r="A4" s="4" t="inlineStr">
        <is>
          <t>Vehicle dynamics</t>
        </is>
      </c>
      <c r="B4" s="4" t="inlineStr">
        <is>
          <t>Bosch Motorsport MM7.10 preferred for actual vehicle installation</t>
        </is>
      </c>
      <c r="C4" s="4" t="inlineStr">
        <is>
          <t>Low-cost hobby IMU for bench learning only</t>
        </is>
      </c>
      <c r="D4" s="4" t="inlineStr">
        <is>
          <t>A single six-axis unit covers longitudinal/lateral acceleration and yaw rate; a hobby module is not equivalent for a rally/road vehicle.</t>
        </is>
      </c>
      <c r="E4" s="4" t="inlineStr">
        <is>
          <t>Quote, CAN definitions/scaling, connector, mounting and availability.</t>
        </is>
      </c>
    </row>
    <row r="5" ht="48" customHeight="1">
      <c r="A5" s="6" t="inlineStr">
        <is>
          <t>Coolant and intake temperatures</t>
        </is>
      </c>
      <c r="B5" s="6" t="inlineStr">
        <is>
          <t>Read from configured M150 if correct signals and locations are available</t>
        </is>
      </c>
      <c r="C5" s="6" t="inlineStr">
        <is>
          <t>Add compatible NTC sensors only where required</t>
        </is>
      </c>
      <c r="D5" s="6" t="inlineStr">
        <is>
          <t>Avoid duplicate sensors and unnecessary cost. The two intake temperature locations must be physically correct.</t>
        </is>
      </c>
      <c r="E5" s="6" t="inlineStr">
        <is>
          <t>Confirm CAN signal list, sensor location, sensor calibration and physical fitment.</t>
        </is>
      </c>
    </row>
    <row r="6" ht="48" customHeight="1">
      <c r="A6" s="4" t="inlineStr">
        <is>
          <t>CAN interface</t>
        </is>
      </c>
      <c r="B6" s="4" t="inlineStr">
        <is>
          <t>Pmod CAN 410-353 only if classic CAN 2.0B meets the network requirement</t>
        </is>
      </c>
      <c r="C6" s="4" t="inlineStr">
        <is>
          <t>Different interface if CAN-FD or other electrical topology is required</t>
        </is>
      </c>
      <c r="D6" s="4" t="inlineStr">
        <is>
          <t>The Pmod is an inexpensive candidate, but it is not CAN-FD and may not match the final network.</t>
        </is>
      </c>
      <c r="E6" s="4" t="inlineStr">
        <is>
          <t>Confirm bitrate, CAN/CAN-FD, termination, connector and 3.3-V/SPI compatibility.</t>
        </is>
      </c>
    </row>
    <row r="7" ht="48" customHeight="1">
      <c r="A7" s="6" t="inlineStr">
        <is>
          <t>Vehicle power</t>
        </is>
      </c>
      <c r="B7" s="6" t="inlineStr">
        <is>
          <t>Protected automotive input supply with reverse-polarity and transient protection</t>
        </is>
      </c>
      <c r="C7" s="6" t="inlineStr">
        <is>
          <t>Generic hobby buck converter rejected for direct battery use</t>
        </is>
      </c>
      <c r="D7" s="6" t="inlineStr">
        <is>
          <t>Vehicle electrical transients and cranking dips must be considered.</t>
        </is>
      </c>
      <c r="E7" s="6" t="inlineStr">
        <is>
          <t>Exact supply module/design, current, thermal and transient ratings.</t>
        </is>
      </c>
    </row>
    <row r="8" ht="48" customHeight="1">
      <c r="A8" s="4" t="inlineStr">
        <is>
          <t>Enclosure and harness</t>
        </is>
      </c>
      <c r="B8" s="4" t="inlineStr">
        <is>
          <t>AQUA AQ02 as a size/price candidate; custom harness parts TBD</t>
        </is>
      </c>
      <c r="C8" s="4" t="inlineStr">
        <is>
          <t>Other enclosure/connector family after mechanical review</t>
        </is>
      </c>
      <c r="D8" s="4" t="inlineStr">
        <is>
          <t>An IP67 enclosure rating alone does not guarantee the assembled installation is sealed or automotive-qualified.</t>
        </is>
      </c>
      <c r="E8" s="4" t="inlineStr">
        <is>
          <t>Board fit, glands, heat, cable route, connector pinouts and mounting.</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showGridLines="0" workbookViewId="0">
      <pane ySplit="2" topLeftCell="A3" activePane="bottomLeft" state="frozen"/>
      <selection pane="bottomLeft" activeCell="A1" sqref="A1"/>
    </sheetView>
  </sheetViews>
  <sheetFormatPr baseColWidth="8" defaultRowHeight="15"/>
  <cols>
    <col width="36" customWidth="1" min="1" max="1"/>
    <col width="65" customWidth="1" min="2" max="2"/>
    <col width="78" customWidth="1" min="3" max="3"/>
  </cols>
  <sheetData>
    <row r="1" ht="26" customHeight="1">
      <c r="A1" s="1" t="inlineStr">
        <is>
          <t>PARC-FERMÉ — CHANNELS AND SCOPE</t>
        </is>
      </c>
    </row>
    <row r="2">
      <c r="A2" s="3" t="inlineStr">
        <is>
          <t>Required channel</t>
        </is>
      </c>
      <c r="B2" s="3" t="inlineStr">
        <is>
          <t>Planned source</t>
        </is>
      </c>
      <c r="C2" s="3" t="inlineStr">
        <is>
          <t>Current status / caveat</t>
        </is>
      </c>
    </row>
    <row r="3" ht="48" customHeight="1">
      <c r="A3" s="6" t="inlineStr">
        <is>
          <t>Engine RPM</t>
        </is>
      </c>
      <c r="B3" s="6" t="inlineStr">
        <is>
          <t>Existing digital RPM source through protected/conditioned input</t>
        </is>
      </c>
      <c r="C3" s="6" t="inlineStr">
        <is>
          <t>RPM period-measurement RTL implemented and synthesised. Actual vehicle signal source and electrical conditioning are not verified. RTL reports period in clock cycles; RPM conversion requires clock frequency and pulses per revolution.</t>
        </is>
      </c>
    </row>
    <row r="4" ht="48" customHeight="1">
      <c r="A4" s="4" t="inlineStr">
        <is>
          <t>Engine coolant temperature</t>
        </is>
      </c>
      <c r="B4" s="4" t="inlineStr">
        <is>
          <t>MoTeC M150 signal if configured and available; otherwise compatible sensor</t>
        </is>
      </c>
      <c r="C4" s="4" t="inlineStr">
        <is>
          <t>Signal availability and sensor fitment not verified.</t>
        </is>
      </c>
    </row>
    <row r="5" ht="48" customHeight="1">
      <c r="A5" s="6" t="inlineStr">
        <is>
          <t>Intake-air temperature before turbo</t>
        </is>
      </c>
      <c r="B5" s="6" t="inlineStr">
        <is>
          <t>M150 signal if correct location is available; otherwise sensor upstream of compressor</t>
        </is>
      </c>
      <c r="C5" s="6" t="inlineStr">
        <is>
          <t>Correct physical measurement location and signal availability must be confirmed.</t>
        </is>
      </c>
    </row>
    <row r="6" ht="48" customHeight="1">
      <c r="A6" s="4" t="inlineStr">
        <is>
          <t>Intake-air temperature after intercooler</t>
        </is>
      </c>
      <c r="B6" s="4" t="inlineStr">
        <is>
          <t>M150 signal if correct location is available; otherwise sensor downstream of intercooler</t>
        </is>
      </c>
      <c r="C6" s="4" t="inlineStr">
        <is>
          <t>Correct physical measurement location and signal availability must be confirmed.</t>
        </is>
      </c>
    </row>
    <row r="7" ht="48" customHeight="1">
      <c r="A7" s="6" t="inlineStr">
        <is>
          <t>Longitudinal acceleration</t>
        </is>
      </c>
      <c r="B7" s="6" t="inlineStr">
        <is>
          <t>Bosch Motorsport MM7.10 accelerometer axis</t>
        </is>
      </c>
      <c r="C7" s="6" t="inlineStr">
        <is>
          <t>Requires confirmed CAN message/scaling and orientation.</t>
        </is>
      </c>
    </row>
    <row r="8" ht="48" customHeight="1">
      <c r="A8" s="4" t="inlineStr">
        <is>
          <t>Lateral acceleration</t>
        </is>
      </c>
      <c r="B8" s="4" t="inlineStr">
        <is>
          <t>Bosch Motorsport MM7.10 accelerometer axis</t>
        </is>
      </c>
      <c r="C8" s="4" t="inlineStr">
        <is>
          <t>Requires confirmed CAN message/scaling and orientation.</t>
        </is>
      </c>
    </row>
    <row r="9" ht="48" customHeight="1">
      <c r="A9" s="6" t="inlineStr">
        <is>
          <t>Yaw rate</t>
        </is>
      </c>
      <c r="B9" s="6" t="inlineStr">
        <is>
          <t>Bosch Motorsport MM7.10 gyroscope axis</t>
        </is>
      </c>
      <c r="C9" s="6" t="inlineStr">
        <is>
          <t>Requires confirmed CAN message/scaling and orientation.</t>
        </is>
      </c>
    </row>
    <row r="10" ht="48" customHeight="1">
      <c r="A10" s="4" t="n"/>
      <c r="B10" s="4" t="n"/>
      <c r="C10" s="4" t="n"/>
    </row>
    <row r="11" ht="48" customHeight="1">
      <c r="A11" s="6" t="inlineStr">
        <is>
          <t>Implemented RTL evidence</t>
        </is>
      </c>
      <c r="B11" s="6" t="n"/>
      <c r="C11" s="6" t="n"/>
    </row>
    <row r="12" ht="48" customHeight="1">
      <c r="A12" s="4" t="inlineStr">
        <is>
          <t>rpm_period_measure.v</t>
        </is>
      </c>
      <c r="B12" s="4" t="inlineStr">
        <is>
          <t>Simulation diagnostic checks pass; generic Yosys structural check/statistics completed. No device-specific place-and-route or timing closure is claimed.</t>
        </is>
      </c>
      <c r="C12" s="4" t="n"/>
    </row>
    <row r="13" ht="48" customHeight="1">
      <c r="A13" s="6" t="inlineStr">
        <is>
          <t>sampled_value_channel.v</t>
        </is>
      </c>
      <c r="B13" s="6" t="inlineStr">
        <is>
          <t>Generic sampled-value capture primitive with simulation checks and generic Yosys statistics; not a temperature sensor driver, ADC interface, CAN decoder or integrated DAQ channel.</t>
        </is>
      </c>
      <c r="C13" s="6" t="n"/>
    </row>
    <row r="14" ht="48" customHeight="1">
      <c r="A14" s="4" t="inlineStr">
        <is>
          <t>Explicit exclusions</t>
        </is>
      </c>
      <c r="B14" s="4" t="inlineStr">
        <is>
          <t>No claim of complete seven-channel integration, physical vehicle testing, calibration, EMC validation or final hardware qualification.</t>
        </is>
      </c>
      <c r="C14" s="4" t="n"/>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showGridLines="0" workbookViewId="0">
      <pane ySplit="2" topLeftCell="A3" activePane="bottomLeft" state="frozen"/>
      <selection pane="bottomLeft" activeCell="A1" sqref="A1"/>
    </sheetView>
  </sheetViews>
  <sheetFormatPr baseColWidth="8" defaultRowHeight="15"/>
  <cols>
    <col width="35" customWidth="1" min="1" max="1"/>
    <col width="90" customWidth="1" min="2" max="2"/>
    <col width="55" customWidth="1" min="3" max="3"/>
  </cols>
  <sheetData>
    <row r="1" ht="26" customHeight="1">
      <c r="A1" s="1" t="inlineStr">
        <is>
          <t>Item</t>
        </is>
      </c>
    </row>
    <row r="2">
      <c r="A2" s="3" t="inlineStr">
        <is>
          <t>FPGA candidate — Cmod A7-35T</t>
        </is>
      </c>
      <c r="B2" s="3" t="inlineStr">
        <is>
          <t>https://www.digikey.in/en/products/filter/evaluation-boards-embedded-complex-logic-fpga-cpld/796</t>
        </is>
      </c>
      <c r="C2" s="3" t="inlineStr">
        <is>
          <t>Indicative listed price; confirm exact SKU and stock.</t>
        </is>
      </c>
    </row>
    <row r="3" ht="48" customHeight="1">
      <c r="A3" s="6" t="inlineStr">
        <is>
          <t>FPGA alternative — MAX 10 EK-10M08E144</t>
        </is>
      </c>
      <c r="B3" s="6" t="inlineStr">
        <is>
          <t>https://www.digikey.in/en/products/detail/altera/EK-10M08E144/4976140</t>
        </is>
      </c>
      <c r="C3" s="6" t="inlineStr">
        <is>
          <t>Alternative board; price/availability can change; toolchain differs.</t>
        </is>
      </c>
    </row>
    <row r="4" ht="48" customHeight="1">
      <c r="A4" s="4" t="inlineStr">
        <is>
          <t>CAN interface — Digilent Pmod CAN</t>
        </is>
      </c>
      <c r="B4" s="4" t="inlineStr">
        <is>
          <t>https://www.mouser.in/en/ProductDetail/Digilent/410-353?qs=sGAEpiMZZMuasj4BaJBHVxbkAbPd%2FWEFUrg7SyghO0zTqQnA7ZiAfQ%3D%3D</t>
        </is>
      </c>
      <c r="C4" s="4" t="inlineStr">
        <is>
          <t>Classic CAN 2.0B interface candidate.</t>
        </is>
      </c>
    </row>
    <row r="5" ht="48" customHeight="1">
      <c r="A5" s="6" t="inlineStr">
        <is>
          <t>Bosch Motorsport MM7.10</t>
        </is>
      </c>
      <c r="B5" s="6" t="inlineStr">
        <is>
          <t>https://www.bosch-motorsport.com/products/sensors/vehicle-dynamics/inertial-measurement-unit-mm7-10/</t>
        </is>
      </c>
      <c r="C5" s="6" t="inlineStr">
        <is>
          <t>Manufacturer product information; quote required.</t>
        </is>
      </c>
    </row>
    <row r="6" ht="48" customHeight="1">
      <c r="A6" s="4" t="inlineStr">
        <is>
          <t>Bosch Motorsport NTC M12</t>
        </is>
      </c>
      <c r="B6" s="4" t="inlineStr">
        <is>
          <t>https://www.bosch-motorsport.com/products/sensors/temperature/temperature-sensor-ntc-m12/</t>
        </is>
      </c>
      <c r="C6" s="4" t="inlineStr">
        <is>
          <t>Manufacturer product information; fitment/price must be confirmed.</t>
        </is>
      </c>
    </row>
    <row r="7" ht="48" customHeight="1">
      <c r="A7" s="6" t="inlineStr">
        <is>
          <t>Bosch Motorsport NTC M12-L</t>
        </is>
      </c>
      <c r="B7" s="6" t="inlineStr">
        <is>
          <t>https://www.bosch-motorsport.com/products/sensors/temperature/temperature-sensor-ntc-m12-l/</t>
        </is>
      </c>
      <c r="C7" s="6" t="inlineStr">
        <is>
          <t>Manufacturer product information; fitment/price must be confirmed.</t>
        </is>
      </c>
    </row>
    <row r="8" ht="48" customHeight="1">
      <c r="A8" s="4" t="inlineStr">
        <is>
          <t>TI TIDA-01179</t>
        </is>
      </c>
      <c r="B8" s="4" t="inlineStr">
        <is>
          <t>https://www.ti.com/tool/TIDA-01179</t>
        </is>
      </c>
      <c r="C8" s="4" t="inlineStr">
        <is>
          <t>Automotive input reference design, not a finished retail module.</t>
        </is>
      </c>
    </row>
    <row r="9" ht="48" customHeight="1">
      <c r="A9" s="6" t="inlineStr">
        <is>
          <t>AQUA AQ02 enclosure</t>
        </is>
      </c>
      <c r="B9" s="6" t="inlineStr">
        <is>
          <t>https://vkenterprises.tech/product/aqua-series-ip67-waterproof-enclosure-for-electronics-aq02/</t>
        </is>
      </c>
      <c r="C9" s="6" t="inlineStr">
        <is>
          <t>Indicative ₹1,180 incl. GST; shipping extra; fitment to verify.</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2026-10-20T12:21:39Z</dcterms:created>
  <dcterms:modified xmlns:dcterms="http://purl.org/dc/terms/" xmlns:xsi="http://www.w3.org/2001/XMLSchema-instance" xsi:type="dcterms:W3CDTF">2026-10-20T12:21:39Z</dcterms:modified>
</cp:coreProperties>
</file>